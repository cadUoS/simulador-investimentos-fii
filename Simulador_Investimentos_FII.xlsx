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cc085ce97fdd2/Documentos/"/>
    </mc:Choice>
  </mc:AlternateContent>
  <xr:revisionPtr revIDLastSave="0" documentId="8_{2DD2F85A-E6BE-4A8A-8073-47DA9496C03E}" xr6:coauthVersionLast="47" xr6:coauthVersionMax="47" xr10:uidLastSave="{00000000-0000-0000-0000-000000000000}"/>
  <bookViews>
    <workbookView xWindow="-120" yWindow="-120" windowWidth="29040" windowHeight="15720" xr2:uid="{6DE8D629-5C46-43A7-86E5-89E7AA1F0102}"/>
  </bookViews>
  <sheets>
    <sheet name="Slv_Invest" sheetId="1" r:id="rId1"/>
    <sheet name="apoio" sheetId="2" r:id="rId2"/>
  </sheets>
  <definedNames>
    <definedName name="aporte">Slv_Invest!$C$18</definedName>
    <definedName name="patrimonio">Slv_Invest!$C$21</definedName>
    <definedName name="qtd_anos">Slv_Invest!$C$19</definedName>
    <definedName name="rendimento_carteira">Slv_Invest!$C$13</definedName>
    <definedName name="salario">Slv_Invest!$C$12</definedName>
    <definedName name="sugestao_invest">Slv_Invest!$C$14</definedName>
    <definedName name="taxa_mensal">Slv_Invest!$C$20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0" i="1"/>
  <c r="G6" i="2"/>
  <c r="A18" i="2"/>
  <c r="A19" i="2"/>
  <c r="A20" i="2"/>
  <c r="A21" i="2"/>
  <c r="A22" i="2"/>
  <c r="A17" i="2"/>
  <c r="A12" i="2"/>
  <c r="A13" i="2"/>
  <c r="A14" i="2"/>
  <c r="A15" i="2"/>
  <c r="A16" i="2"/>
  <c r="A11" i="2"/>
  <c r="A6" i="2"/>
  <c r="A7" i="2"/>
  <c r="A8" i="2"/>
  <c r="A9" i="2"/>
  <c r="A10" i="2"/>
  <c r="A5" i="2"/>
  <c r="C26" i="1"/>
  <c r="C21" i="1"/>
  <c r="C22" i="1" s="1"/>
  <c r="C14" i="1"/>
  <c r="F13" i="1"/>
  <c r="G13" i="1" s="1"/>
  <c r="F14" i="1"/>
  <c r="G14" i="1" s="1"/>
  <c r="F15" i="1"/>
  <c r="G15" i="1" s="1"/>
  <c r="F16" i="1"/>
  <c r="G16" i="1" s="1"/>
  <c r="F12" i="1"/>
  <c r="G12" i="1" s="1"/>
  <c r="G21" i="1" l="1"/>
  <c r="G22" i="1"/>
  <c r="G23" i="1"/>
  <c r="G24" i="1"/>
  <c r="G25" i="1"/>
  <c r="G20" i="1"/>
  <c r="G26" i="1"/>
</calcChain>
</file>

<file path=xl/sharedStrings.xml><?xml version="1.0" encoding="utf-8"?>
<sst xmlns="http://schemas.openxmlformats.org/spreadsheetml/2006/main" count="71" uniqueCount="34">
  <si>
    <t>INVESTIMENTO MENSAL</t>
  </si>
  <si>
    <t>Por Quantos Anos</t>
  </si>
  <si>
    <t>Taxa de Rendimento Mensal</t>
  </si>
  <si>
    <t>Dividendo Mensal</t>
  </si>
  <si>
    <t>Quanto Investir por Mês</t>
  </si>
  <si>
    <t>Em 2 anos</t>
  </si>
  <si>
    <t>Em 5 anos</t>
  </si>
  <si>
    <t>Em 10 anos</t>
  </si>
  <si>
    <t>Em 8 anos</t>
  </si>
  <si>
    <t>CENÁRIOS</t>
  </si>
  <si>
    <t>Em 12 anos</t>
  </si>
  <si>
    <t>Dividendo</t>
  </si>
  <si>
    <t>CONFIGURAÇÕES</t>
  </si>
  <si>
    <t>Salário</t>
  </si>
  <si>
    <t>Redimento Carteira</t>
  </si>
  <si>
    <t>Sugestão de Investimento</t>
  </si>
  <si>
    <t>Patrimônio Acumulado</t>
  </si>
  <si>
    <t>Valor a ser investido por mês</t>
  </si>
  <si>
    <t>PERFIL</t>
  </si>
  <si>
    <t>TIPO DE FII</t>
  </si>
  <si>
    <t>PERCENTUAL SEGERIDO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</si>
  <si>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</si>
  <si>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</si>
  <si>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</si>
  <si>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</si>
  <si>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</si>
  <si>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</si>
  <si>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</si>
  <si>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</si>
  <si>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</si>
  <si>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CHAVE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</si>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</sst>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8" fillId="8" borderId="0" applyNumberFormat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5" fillId="0" borderId="4" xfId="0" applyFont="1" applyBorder="1"/>
    <xf numFmtId="164" fontId="2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1" fontId="2" fillId="0" borderId="7" xfId="0" applyNumberFormat="1" applyFont="1" applyBorder="1" applyAlignment="1">
      <alignment horizontal="center" vertical="center"/>
    </xf>
    <xf numFmtId="10" fontId="2" fillId="0" borderId="7" xfId="2" applyNumberFormat="1" applyFont="1" applyBorder="1" applyAlignment="1">
      <alignment horizontal="center" vertical="center"/>
    </xf>
    <xf numFmtId="0" fontId="6" fillId="3" borderId="6" xfId="0" applyFont="1" applyFill="1" applyBorder="1"/>
    <xf numFmtId="8" fontId="2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/>
    <xf numFmtId="8" fontId="2" fillId="3" borderId="9" xfId="0" applyNumberFormat="1" applyFont="1" applyFill="1" applyBorder="1" applyAlignment="1">
      <alignment horizontal="center" vertical="center"/>
    </xf>
    <xf numFmtId="8" fontId="0" fillId="3" borderId="10" xfId="0" applyNumberFormat="1" applyFill="1" applyBorder="1"/>
    <xf numFmtId="8" fontId="0" fillId="3" borderId="11" xfId="0" applyNumberFormat="1" applyFill="1" applyBorder="1"/>
    <xf numFmtId="0" fontId="0" fillId="3" borderId="4" xfId="0" applyFill="1" applyBorder="1"/>
    <xf numFmtId="8" fontId="0" fillId="3" borderId="5" xfId="0" applyNumberFormat="1" applyFill="1" applyBorder="1"/>
    <xf numFmtId="0" fontId="0" fillId="3" borderId="6" xfId="0" applyFill="1" applyBorder="1"/>
    <xf numFmtId="8" fontId="0" fillId="3" borderId="7" xfId="0" applyNumberFormat="1" applyFill="1" applyBorder="1"/>
    <xf numFmtId="0" fontId="0" fillId="3" borderId="8" xfId="0" applyFill="1" applyBorder="1"/>
    <xf numFmtId="8" fontId="0" fillId="3" borderId="12" xfId="0" applyNumberFormat="1" applyFill="1" applyBorder="1"/>
    <xf numFmtId="8" fontId="0" fillId="3" borderId="9" xfId="0" applyNumberFormat="1" applyFill="1" applyBorder="1"/>
    <xf numFmtId="44" fontId="0" fillId="5" borderId="5" xfId="1" applyFont="1" applyFill="1" applyBorder="1"/>
    <xf numFmtId="9" fontId="0" fillId="5" borderId="7" xfId="0" applyNumberFormat="1" applyFill="1" applyBorder="1"/>
    <xf numFmtId="44" fontId="0" fillId="5" borderId="9" xfId="0" applyNumberFormat="1" applyFill="1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9" fontId="0" fillId="0" borderId="0" xfId="2" applyNumberFormat="1" applyFont="1" applyAlignment="1">
      <alignment horizontal="center" vertical="center"/>
    </xf>
    <xf numFmtId="9" fontId="0" fillId="0" borderId="13" xfId="2" applyNumberFormat="1" applyFont="1" applyBorder="1" applyAlignment="1">
      <alignment horizontal="center" vertical="center"/>
    </xf>
    <xf numFmtId="9" fontId="0" fillId="0" borderId="0" xfId="2" applyNumberFormat="1" applyFont="1" applyFill="1" applyBorder="1" applyAlignment="1">
      <alignment horizontal="center" vertical="center"/>
    </xf>
    <xf numFmtId="0" fontId="8" fillId="8" borderId="0" xfId="4"/>
    <xf numFmtId="9" fontId="8" fillId="8" borderId="0" xfId="4" applyNumberFormat="1"/>
    <xf numFmtId="9" fontId="0" fillId="9" borderId="16" xfId="0" applyNumberFormat="1" applyFill="1" applyBorder="1" applyAlignment="1">
      <alignment horizontal="center" vertical="center"/>
    </xf>
    <xf numFmtId="9" fontId="0" fillId="9" borderId="1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9" borderId="20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9" borderId="2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9" borderId="24" xfId="0" applyNumberFormat="1" applyFill="1" applyBorder="1" applyAlignment="1">
      <alignment horizontal="center" vertical="center"/>
    </xf>
    <xf numFmtId="0" fontId="0" fillId="7" borderId="14" xfId="0" applyFill="1" applyBorder="1"/>
    <xf numFmtId="0" fontId="0" fillId="7" borderId="13" xfId="0" applyFill="1" applyBorder="1"/>
    <xf numFmtId="164" fontId="2" fillId="7" borderId="15" xfId="0" applyNumberFormat="1" applyFont="1" applyFill="1" applyBorder="1" applyAlignment="1">
      <alignment horizontal="center" vertical="center"/>
    </xf>
    <xf numFmtId="0" fontId="0" fillId="3" borderId="25" xfId="0" applyFill="1" applyBorder="1"/>
    <xf numFmtId="164" fontId="0" fillId="3" borderId="26" xfId="0" applyNumberFormat="1" applyFill="1" applyBorder="1"/>
    <xf numFmtId="0" fontId="7" fillId="6" borderId="1" xfId="3" applyFont="1" applyBorder="1" applyAlignment="1">
      <alignment horizontal="center" vertical="center"/>
    </xf>
    <xf numFmtId="0" fontId="7" fillId="6" borderId="2" xfId="3" applyFont="1" applyBorder="1" applyAlignment="1">
      <alignment horizontal="center"/>
    </xf>
    <xf numFmtId="0" fontId="10" fillId="0" borderId="0" xfId="0" applyFont="1"/>
  </cellXfs>
  <cellStyles count="5">
    <cellStyle name="60% - Ênfase5" xfId="3" builtinId="48"/>
    <cellStyle name="Moeda" xfId="1" builtinId="4"/>
    <cellStyle name="Neutro" xfId="4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39588801399825E-2"/>
          <c:y val="0"/>
          <c:w val="0.90087489063867021"/>
          <c:h val="0.677886333731998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Slv_Invest!$E$20</c:f>
              <c:strCache>
                <c:ptCount val="1"/>
                <c:pt idx="0">
                  <c:v>PAPEL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Slv_Invest!$F$20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9-4343-B71D-90FFB6F51891}"/>
            </c:ext>
          </c:extLst>
        </c:ser>
        <c:ser>
          <c:idx val="1"/>
          <c:order val="1"/>
          <c:tx>
            <c:strRef>
              <c:f>Slv_Invest!$E$21</c:f>
              <c:strCache>
                <c:ptCount val="1"/>
                <c:pt idx="0">
                  <c:v>TIJOLO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Slv_Invest!$F$21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9-4343-B71D-90FFB6F51891}"/>
            </c:ext>
          </c:extLst>
        </c:ser>
        <c:ser>
          <c:idx val="2"/>
          <c:order val="2"/>
          <c:tx>
            <c:strRef>
              <c:f>Slv_Invest!$E$22</c:f>
              <c:strCache>
                <c:ptCount val="1"/>
                <c:pt idx="0">
                  <c:v>HIBRIDOS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Slv_Invest!$F$22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39-4343-B71D-90FFB6F51891}"/>
            </c:ext>
          </c:extLst>
        </c:ser>
        <c:ser>
          <c:idx val="3"/>
          <c:order val="3"/>
          <c:tx>
            <c:strRef>
              <c:f>Slv_Invest!$E$23</c:f>
              <c:strCache>
                <c:ptCount val="1"/>
                <c:pt idx="0">
                  <c:v>FOFs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Slv_Invest!$F$23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39-4343-B71D-90FFB6F51891}"/>
            </c:ext>
          </c:extLst>
        </c:ser>
        <c:ser>
          <c:idx val="4"/>
          <c:order val="4"/>
          <c:tx>
            <c:strRef>
              <c:f>Slv_Invest!$E$24</c:f>
              <c:strCache>
                <c:ptCount val="1"/>
                <c:pt idx="0">
                  <c:v>DESENVOLVIMENTO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Slv_Invest!$F$24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39-4343-B71D-90FFB6F51891}"/>
            </c:ext>
          </c:extLst>
        </c:ser>
        <c:ser>
          <c:idx val="5"/>
          <c:order val="5"/>
          <c:tx>
            <c:strRef>
              <c:f>Slv_Invest!$E$25</c:f>
              <c:strCache>
                <c:ptCount val="1"/>
                <c:pt idx="0">
                  <c:v>HOTELARIAS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Slv_Invest!$F$25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39-4343-B71D-90FFB6F5189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512847"/>
        <c:axId val="750540143"/>
      </c:barChart>
      <c:catAx>
        <c:axId val="7455128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50540143"/>
        <c:crosses val="autoZero"/>
        <c:auto val="1"/>
        <c:lblAlgn val="ctr"/>
        <c:lblOffset val="100"/>
        <c:noMultiLvlLbl val="0"/>
      </c:catAx>
      <c:valAx>
        <c:axId val="750540143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551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592455</xdr:colOff>
      <xdr:row>0</xdr:row>
      <xdr:rowOff>114299</xdr:rowOff>
    </xdr:from>
    <xdr:to>
      <xdr:col>6</xdr:col>
      <xdr:colOff>1638300</xdr:colOff>
      <xdr:row>9</xdr:row>
      <xdr:rowOff>76199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BF2BE6-1688-1FB5-EBE9-14B1923B0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" y="114299"/>
          <a:ext cx="8286750" cy="1590675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26</xdr:row>
      <xdr:rowOff>66674</xdr:rowOff>
    </xdr:from>
    <xdr:to>
      <xdr:col>6</xdr:col>
      <xdr:colOff>1638300</xdr:colOff>
      <xdr:row>34</xdr:row>
      <xdr:rowOff>61911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8CFB85-17D0-307B-3C1C-9922800E6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6791-E527-4750-ABA3-EBC359CD518D}">
  <dimension ref="A10:H52"/>
  <sheetViews>
    <sheetView showGridLines="0" tabSelected="1" workbookViewId="0">
      <selection activeCell="C32" sqref="C32"/>
    </sheetView>
  </sheetViews>
  <sheetFormatPr defaultColWidth="0" defaultRowHeight="15" x14ac:dyDescent="0.25"/>
  <cols>
    <col min="1" max="1" width="9.140625" customWidth="1"/>
    <col min="2" max="2" width="27.42578125" bestFit="1" customWidth="1"/>
    <col min="3" max="3" width="12.140625" bestFit="1" customWidth="1"/>
    <col min="4" max="4" width="12" customWidth="1"/>
    <col min="5" max="5" width="18" bestFit="1" customWidth="1"/>
    <col min="6" max="6" width="26.28515625" bestFit="1" customWidth="1"/>
    <col min="7" max="7" width="24.7109375" customWidth="1"/>
    <col min="8" max="8" width="9.140625" customWidth="1"/>
    <col min="9" max="16384" width="24.28515625" hidden="1"/>
  </cols>
  <sheetData>
    <row r="10" spans="2:7" ht="15.75" thickBot="1" x14ac:dyDescent="0.3"/>
    <row r="11" spans="2:7" ht="29.25" customHeight="1" x14ac:dyDescent="0.25">
      <c r="B11" s="28" t="s">
        <v>12</v>
      </c>
      <c r="C11" s="29"/>
      <c r="E11" s="26" t="s">
        <v>9</v>
      </c>
      <c r="F11" s="27"/>
      <c r="G11" s="30" t="s">
        <v>11</v>
      </c>
    </row>
    <row r="12" spans="2:7" x14ac:dyDescent="0.25">
      <c r="B12" s="13" t="s">
        <v>13</v>
      </c>
      <c r="C12" s="20">
        <v>2350</v>
      </c>
      <c r="E12" s="13" t="s">
        <v>5</v>
      </c>
      <c r="F12" s="11">
        <f>FV($C$20,$A19*12,$C$18*-1)</f>
        <v>19061.604562407112</v>
      </c>
      <c r="G12" s="14">
        <f>F12*rendimento_carteira</f>
        <v>114.36962737444267</v>
      </c>
    </row>
    <row r="13" spans="2:7" x14ac:dyDescent="0.25">
      <c r="B13" s="15" t="s">
        <v>14</v>
      </c>
      <c r="C13" s="21">
        <v>6.0000000000000001E-3</v>
      </c>
      <c r="E13" s="15" t="s">
        <v>6</v>
      </c>
      <c r="F13" s="12">
        <f>FV($C$20,$A20*12,$C$18*-1)</f>
        <v>58662.813551480904</v>
      </c>
      <c r="G13" s="16">
        <f>F13*rendimento_carteira</f>
        <v>351.97688130888542</v>
      </c>
    </row>
    <row r="14" spans="2:7" ht="15.75" thickBot="1" x14ac:dyDescent="0.3">
      <c r="B14" s="17" t="s">
        <v>15</v>
      </c>
      <c r="C14" s="22">
        <f>C12*30%</f>
        <v>705</v>
      </c>
      <c r="E14" s="15" t="s">
        <v>8</v>
      </c>
      <c r="F14" s="12">
        <f>FV($C$20,$A21*12,$C$18*-1)</f>
        <v>116961.24119915407</v>
      </c>
      <c r="G14" s="16">
        <f>F14*rendimento_carteira</f>
        <v>701.76744719492444</v>
      </c>
    </row>
    <row r="15" spans="2:7" x14ac:dyDescent="0.25">
      <c r="E15" s="15" t="s">
        <v>7</v>
      </c>
      <c r="F15" s="12">
        <f>FV($C$20,$A22*12,$C$18*-1)</f>
        <v>170420.36637836008</v>
      </c>
      <c r="G15" s="16">
        <f>F15*rendimento_carteira</f>
        <v>1022.5221982701605</v>
      </c>
    </row>
    <row r="16" spans="2:7" ht="15.75" thickBot="1" x14ac:dyDescent="0.3">
      <c r="E16" s="17" t="s">
        <v>10</v>
      </c>
      <c r="F16" s="18">
        <f>FV($C$20,$A23*12,$C$18*-1)</f>
        <v>239601.46356859044</v>
      </c>
      <c r="G16" s="19">
        <f>F16*rendimento_carteira</f>
        <v>1437.6087814115426</v>
      </c>
    </row>
    <row r="17" spans="1:7" ht="26.25" x14ac:dyDescent="0.25">
      <c r="B17" s="24" t="s">
        <v>0</v>
      </c>
      <c r="C17" s="25"/>
    </row>
    <row r="18" spans="1:7" ht="16.5" thickBot="1" x14ac:dyDescent="0.3">
      <c r="B18" s="2" t="s">
        <v>4</v>
      </c>
      <c r="C18" s="3">
        <v>700</v>
      </c>
    </row>
    <row r="19" spans="1:7" ht="15.75" x14ac:dyDescent="0.25">
      <c r="A19" s="1">
        <v>2</v>
      </c>
      <c r="B19" s="4" t="s">
        <v>1</v>
      </c>
      <c r="C19" s="5">
        <v>5</v>
      </c>
      <c r="E19" s="41" t="s">
        <v>19</v>
      </c>
      <c r="F19" s="42" t="s">
        <v>20</v>
      </c>
      <c r="G19" s="43" t="s">
        <v>21</v>
      </c>
    </row>
    <row r="20" spans="1:7" ht="15.75" x14ac:dyDescent="0.25">
      <c r="A20" s="1">
        <v>5</v>
      </c>
      <c r="B20" s="4" t="s">
        <v>2</v>
      </c>
      <c r="C20" s="6">
        <v>1.0800000000000001E-2</v>
      </c>
      <c r="E20" s="44" t="s">
        <v>22</v>
      </c>
      <c r="F20" s="38">
        <f>VLOOKUP($C$25&amp;"-"&amp;E20,apoio!$A:$D,4,FALSE)</f>
        <v>0.5</v>
      </c>
      <c r="G20" s="45">
        <f>F20*$C$26</f>
        <v>350</v>
      </c>
    </row>
    <row r="21" spans="1:7" ht="15.75" x14ac:dyDescent="0.25">
      <c r="A21" s="1">
        <v>8</v>
      </c>
      <c r="B21" s="7" t="s">
        <v>16</v>
      </c>
      <c r="C21" s="8">
        <f>FV(taxa_mensal,qtd_anos*12,aporte*-1)</f>
        <v>58662.813551480904</v>
      </c>
      <c r="E21" s="46" t="s">
        <v>23</v>
      </c>
      <c r="F21" s="39">
        <f>VLOOKUP($C$25&amp;"-"&amp;E21,apoio!$A:$D,4,FALSE)</f>
        <v>0.1</v>
      </c>
      <c r="G21" s="47">
        <f>F21*$C$26</f>
        <v>70</v>
      </c>
    </row>
    <row r="22" spans="1:7" ht="16.5" thickBot="1" x14ac:dyDescent="0.3">
      <c r="A22" s="1">
        <v>10</v>
      </c>
      <c r="B22" s="9" t="s">
        <v>3</v>
      </c>
      <c r="C22" s="10">
        <f>patrimonio*rendimento_carteira</f>
        <v>351.97688130888542</v>
      </c>
      <c r="E22" s="46" t="s">
        <v>24</v>
      </c>
      <c r="F22" s="39">
        <f>VLOOKUP($C$25&amp;"-"&amp;E22,apoio!$A:$D,4,FALSE)</f>
        <v>0.05</v>
      </c>
      <c r="G22" s="47">
        <f>F22*$C$26</f>
        <v>35</v>
      </c>
    </row>
    <row r="23" spans="1:7" x14ac:dyDescent="0.25">
      <c r="A23" s="1">
        <v>12</v>
      </c>
      <c r="E23" s="46" t="s">
        <v>25</v>
      </c>
      <c r="F23" s="39">
        <f>VLOOKUP($C$25&amp;"-"&amp;E23,apoio!$A:$D,4,FALSE)</f>
        <v>0.05</v>
      </c>
      <c r="G23" s="47">
        <f>F23*$C$26</f>
        <v>35</v>
      </c>
    </row>
    <row r="24" spans="1:7" ht="15.75" thickBot="1" x14ac:dyDescent="0.3">
      <c r="E24" s="46" t="s">
        <v>26</v>
      </c>
      <c r="F24" s="39">
        <f>VLOOKUP($C$25&amp;"-"&amp;E24,apoio!$A:$D,4,FALSE)</f>
        <v>0.2</v>
      </c>
      <c r="G24" s="47">
        <f>F24*$C$26</f>
        <v>140</v>
      </c>
    </row>
    <row r="25" spans="1:7" x14ac:dyDescent="0.25">
      <c r="B25" s="55" t="s">
        <v>18</v>
      </c>
      <c r="C25" s="56" t="s">
        <v>32</v>
      </c>
      <c r="E25" s="48" t="s">
        <v>27</v>
      </c>
      <c r="F25" s="40">
        <f>VLOOKUP($C$25&amp;"-"&amp;E25,apoio!$A:$D,4,FALSE)</f>
        <v>0.1</v>
      </c>
      <c r="G25" s="49">
        <f>F25*$C$26</f>
        <v>70</v>
      </c>
    </row>
    <row r="26" spans="1:7" ht="15.75" thickBot="1" x14ac:dyDescent="0.3">
      <c r="B26" s="53" t="s">
        <v>17</v>
      </c>
      <c r="C26" s="54">
        <f>aporte</f>
        <v>700</v>
      </c>
      <c r="E26" s="50"/>
      <c r="F26" s="51"/>
      <c r="G26" s="52">
        <f>SUM(G20:G25)</f>
        <v>700</v>
      </c>
    </row>
    <row r="32" spans="1:7" x14ac:dyDescent="0.25">
      <c r="C32" s="5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</sheetData>
  <mergeCells count="3">
    <mergeCell ref="B17:C17"/>
    <mergeCell ref="E11:F11"/>
    <mergeCell ref="B11:C11"/>
  </mergeCells>
  <dataValidations count="1">
    <dataValidation type="list" allowBlank="1" showInputMessage="1" showErrorMessage="1" sqref="C25" xr:uid="{1CF0C4EF-5A44-4099-B8EA-8EF427493EB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8D3C-7341-4B77-B1DB-550774642649}">
  <dimension ref="A4:G22"/>
  <sheetViews>
    <sheetView workbookViewId="0">
      <selection activeCell="A34" sqref="A34"/>
    </sheetView>
  </sheetViews>
  <sheetFormatPr defaultRowHeight="15" x14ac:dyDescent="0.25"/>
  <cols>
    <col min="1" max="1" width="30.85546875" bestFit="1" customWidth="1"/>
    <col min="2" max="2" width="11.7109375" bestFit="1" customWidth="1"/>
    <col min="3" max="3" width="18" bestFit="1" customWidth="1"/>
    <col min="4" max="4" width="11.140625" bestFit="1" customWidth="1"/>
    <col min="6" max="6" width="16.85546875" bestFit="1" customWidth="1"/>
    <col min="7" max="7" width="15.85546875" customWidth="1"/>
  </cols>
  <sheetData>
    <row r="4" spans="1:7" ht="15.75" thickBot="1" x14ac:dyDescent="0.3">
      <c r="A4" s="31" t="s">
        <v>30</v>
      </c>
      <c r="B4" s="31" t="s">
        <v>18</v>
      </c>
      <c r="C4" s="32" t="s">
        <v>19</v>
      </c>
      <c r="D4" s="31" t="s">
        <v>29</v>
      </c>
    </row>
    <row r="5" spans="1:7" x14ac:dyDescent="0.25">
      <c r="A5" t="str">
        <f>B5&amp;"-"&amp;C5</f>
        <v>Conservador-PAPEL</v>
      </c>
      <c r="B5" t="s">
        <v>28</v>
      </c>
      <c r="C5" s="23" t="s">
        <v>22</v>
      </c>
      <c r="D5" s="33">
        <v>0.3</v>
      </c>
      <c r="G5" t="s">
        <v>29</v>
      </c>
    </row>
    <row r="6" spans="1:7" x14ac:dyDescent="0.25">
      <c r="A6" t="str">
        <f t="shared" ref="A6:A10" si="0">B6&amp;"-"&amp;C6</f>
        <v>Conservador-TIJOLO</v>
      </c>
      <c r="B6" t="s">
        <v>28</v>
      </c>
      <c r="C6" s="23" t="s">
        <v>23</v>
      </c>
      <c r="D6" s="33">
        <v>0.5</v>
      </c>
      <c r="F6" s="36" t="s">
        <v>33</v>
      </c>
      <c r="G6" s="37">
        <f>VLOOKUP(F6,$A:$D,4,FALSE)</f>
        <v>0.35</v>
      </c>
    </row>
    <row r="7" spans="1:7" x14ac:dyDescent="0.25">
      <c r="A7" t="str">
        <f t="shared" si="0"/>
        <v>Conservador-HIBRIDOS</v>
      </c>
      <c r="B7" t="s">
        <v>28</v>
      </c>
      <c r="C7" s="23" t="s">
        <v>24</v>
      </c>
      <c r="D7" s="33">
        <v>0.1</v>
      </c>
    </row>
    <row r="8" spans="1:7" x14ac:dyDescent="0.25">
      <c r="A8" t="str">
        <f t="shared" si="0"/>
        <v>Conservador-FOFs</v>
      </c>
      <c r="B8" t="s">
        <v>28</v>
      </c>
      <c r="C8" s="23" t="s">
        <v>25</v>
      </c>
      <c r="D8" s="33">
        <v>0.1</v>
      </c>
    </row>
    <row r="9" spans="1:7" x14ac:dyDescent="0.25">
      <c r="A9" t="str">
        <f t="shared" si="0"/>
        <v>Conservador-DESENVOLVIMENTO</v>
      </c>
      <c r="B9" t="s">
        <v>28</v>
      </c>
      <c r="C9" s="23" t="s">
        <v>26</v>
      </c>
      <c r="D9" s="33">
        <v>0</v>
      </c>
    </row>
    <row r="10" spans="1:7" ht="15.75" thickBot="1" x14ac:dyDescent="0.3">
      <c r="A10" s="31" t="str">
        <f t="shared" si="0"/>
        <v>Conservador-HOTELARIAS</v>
      </c>
      <c r="B10" s="31" t="s">
        <v>28</v>
      </c>
      <c r="C10" s="32" t="s">
        <v>27</v>
      </c>
      <c r="D10" s="34">
        <v>0</v>
      </c>
    </row>
    <row r="11" spans="1:7" x14ac:dyDescent="0.25">
      <c r="A11" t="str">
        <f>B11&amp;"-"&amp;C11</f>
        <v>Moderado-PAPEL</v>
      </c>
      <c r="B11" t="s">
        <v>31</v>
      </c>
      <c r="C11" s="23" t="s">
        <v>22</v>
      </c>
      <c r="D11" s="35">
        <v>0.32</v>
      </c>
    </row>
    <row r="12" spans="1:7" x14ac:dyDescent="0.25">
      <c r="A12" t="str">
        <f t="shared" ref="A12:A16" si="1">B12&amp;"-"&amp;C12</f>
        <v>Moderado-TIJOLO</v>
      </c>
      <c r="B12" t="s">
        <v>31</v>
      </c>
      <c r="C12" s="23" t="s">
        <v>23</v>
      </c>
      <c r="D12" s="35">
        <v>0.35</v>
      </c>
    </row>
    <row r="13" spans="1:7" x14ac:dyDescent="0.25">
      <c r="A13" t="str">
        <f t="shared" si="1"/>
        <v>Moderado-HIBRIDOS</v>
      </c>
      <c r="B13" t="s">
        <v>31</v>
      </c>
      <c r="C13" s="23" t="s">
        <v>24</v>
      </c>
      <c r="D13" s="35">
        <v>0.08</v>
      </c>
    </row>
    <row r="14" spans="1:7" x14ac:dyDescent="0.25">
      <c r="A14" t="str">
        <f t="shared" si="1"/>
        <v>Moderado-FOFs</v>
      </c>
      <c r="B14" t="s">
        <v>31</v>
      </c>
      <c r="C14" s="23" t="s">
        <v>25</v>
      </c>
      <c r="D14" s="35">
        <v>0.05</v>
      </c>
    </row>
    <row r="15" spans="1:7" x14ac:dyDescent="0.25">
      <c r="A15" t="str">
        <f t="shared" si="1"/>
        <v>Moderado-DESENVOLVIMENTO</v>
      </c>
      <c r="B15" t="s">
        <v>31</v>
      </c>
      <c r="C15" s="23" t="s">
        <v>26</v>
      </c>
      <c r="D15" s="35">
        <v>0.1</v>
      </c>
    </row>
    <row r="16" spans="1:7" ht="15.75" thickBot="1" x14ac:dyDescent="0.3">
      <c r="A16" s="31" t="str">
        <f t="shared" si="1"/>
        <v>Moderado-HOTELARIAS</v>
      </c>
      <c r="B16" s="31" t="s">
        <v>31</v>
      </c>
      <c r="C16" s="32" t="s">
        <v>27</v>
      </c>
      <c r="D16" s="34">
        <v>0.1</v>
      </c>
    </row>
    <row r="17" spans="1:4" x14ac:dyDescent="0.25">
      <c r="A17" t="str">
        <f>B17&amp;"-"&amp;C17</f>
        <v>Agressivo-PAPEL</v>
      </c>
      <c r="B17" t="s">
        <v>32</v>
      </c>
      <c r="C17" s="23" t="s">
        <v>22</v>
      </c>
      <c r="D17" s="33">
        <v>0.5</v>
      </c>
    </row>
    <row r="18" spans="1:4" x14ac:dyDescent="0.25">
      <c r="A18" t="str">
        <f t="shared" ref="A18:A22" si="2">B18&amp;"-"&amp;C18</f>
        <v>Agressivo-TIJOLO</v>
      </c>
      <c r="B18" t="s">
        <v>32</v>
      </c>
      <c r="C18" s="23" t="s">
        <v>23</v>
      </c>
      <c r="D18" s="33">
        <v>0.1</v>
      </c>
    </row>
    <row r="19" spans="1:4" x14ac:dyDescent="0.25">
      <c r="A19" t="str">
        <f t="shared" si="2"/>
        <v>Agressivo-HIBRIDOS</v>
      </c>
      <c r="B19" t="s">
        <v>32</v>
      </c>
      <c r="C19" s="23" t="s">
        <v>24</v>
      </c>
      <c r="D19" s="33">
        <v>0.05</v>
      </c>
    </row>
    <row r="20" spans="1:4" x14ac:dyDescent="0.25">
      <c r="A20" t="str">
        <f t="shared" si="2"/>
        <v>Agressivo-FOFs</v>
      </c>
      <c r="B20" t="s">
        <v>32</v>
      </c>
      <c r="C20" s="23" t="s">
        <v>25</v>
      </c>
      <c r="D20" s="33">
        <v>0.05</v>
      </c>
    </row>
    <row r="21" spans="1:4" x14ac:dyDescent="0.25">
      <c r="A21" t="str">
        <f t="shared" si="2"/>
        <v>Agressivo-DESENVOLVIMENTO</v>
      </c>
      <c r="B21" t="s">
        <v>32</v>
      </c>
      <c r="C21" s="23" t="s">
        <v>26</v>
      </c>
      <c r="D21" s="33">
        <v>0.2</v>
      </c>
    </row>
    <row r="22" spans="1:4" ht="15.75" thickBot="1" x14ac:dyDescent="0.3">
      <c r="A22" s="31" t="str">
        <f t="shared" si="2"/>
        <v>Agressivo-HOTELARIAS</v>
      </c>
      <c r="B22" s="31" t="s">
        <v>32</v>
      </c>
      <c r="C22" s="32" t="s">
        <v>27</v>
      </c>
      <c r="D22" s="34">
        <v>0.1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249113-1808-4fcc-96ec-000e81c816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48FA55CA01549A94586895F6E941A" ma:contentTypeVersion="11" ma:contentTypeDescription="Create a new document." ma:contentTypeScope="" ma:versionID="8d53c82320aef2f231978633a7810279">
  <xsd:schema xmlns:xsd="http://www.w3.org/2001/XMLSchema" xmlns:xs="http://www.w3.org/2001/XMLSchema" xmlns:p="http://schemas.microsoft.com/office/2006/metadata/properties" xmlns:ns3="09249113-1808-4fcc-96ec-000e81c8167e" targetNamespace="http://schemas.microsoft.com/office/2006/metadata/properties" ma:root="true" ma:fieldsID="ddd1c2159f61f3192934698ef0ecc080" ns3:_="">
    <xsd:import namespace="09249113-1808-4fcc-96ec-000e81c816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9113-1808-4fcc-96ec-000e81c816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5C474-1EA4-4F34-929D-F6C805B0A0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37FE0-CD65-46E7-BBB9-4D85C13EE003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09249113-1808-4fcc-96ec-000e81c8167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21C065-3D4E-46E8-A224-2876112D4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249113-1808-4fcc-96ec-000e81c816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Slv_Invest</vt:lpstr>
      <vt:lpstr>apoio</vt:lpstr>
      <vt:lpstr>aporte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de Oliveira Silva</dc:creator>
  <cp:lastModifiedBy>Carlos Eduardo de Oliveira Silva</cp:lastModifiedBy>
  <dcterms:created xsi:type="dcterms:W3CDTF">2026-09-03T18:20:27Z</dcterms:created>
  <dcterms:modified xsi:type="dcterms:W3CDTF">2026-09-05T00:13:19Z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0x0101005CB48FA55CA01549A94586895F6E941A</vt:lpwstr>
  </property>
</Properties>
</file>